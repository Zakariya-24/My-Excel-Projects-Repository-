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82" documentId="11_2779F9B2FCDC5B6E264834899AD3CC78A628D2C5" xr6:coauthVersionLast="47" xr6:coauthVersionMax="47" xr10:uidLastSave="{106C8721-5D3F-4608-9ED7-A92FAA7D29BE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<sst xmlns="http://schemas.openxmlformats.org/spreadsheetml/2006/main" count="54" uniqueCount="54">
  <si>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Biggest Atlantic Hurricanes</t>
  </si>
  <si>
    <t>Name</t>
  </si>
  <si>
    <t>Start Date</t>
  </si>
  <si>
    <t>Damage 
(USD 
Millions)</t>
  </si>
  <si>
    <t>Category*</t>
  </si>
  <si>
    <t>Max 
Wind 
Speed</t>
  </si>
  <si>
    <t>Ifs</t>
  </si>
  <si>
    <t>San Marcos</t>
  </si>
  <si>
    <t>October 5, 1870</t>
  </si>
  <si>
    <t>=IFS(D4=1, "95", D4=2, "110", D4=3, "129", D4=4, "156", D4=5, "157 and over", "Unmatched Category")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</si>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</sst>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8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9" fontId="0" fillId="0" borderId="0" xfId="0" applyNumberFormat="1"/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J46"/>
  <sheetViews>
    <sheetView tabSelected="1" workbookViewId="0">
      <selection activeCell="F5" sqref="F5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9.7109375" bestFit="1" customWidth="1"/>
    <col min="6" max="6" width="90.85546875" customWidth="1"/>
    <col min="8" max="8" width="24" bestFit="1" customWidth="1"/>
    <col min="9" max="9" width="26" bestFit="1" customWidth="1"/>
  </cols>
  <sheetData>
    <row r="1" spans="1:10" ht="23.25">
      <c r="A1" s="2" t="s">
        <v>0</v>
      </c>
    </row>
    <row r="3" spans="1:10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</row>
    <row r="4" spans="1:10">
      <c r="A4" t="s">
        <v>7</v>
      </c>
      <c r="B4" t="s">
        <v>8</v>
      </c>
      <c r="C4" s="3">
        <v>12</v>
      </c>
      <c r="D4">
        <v>3</v>
      </c>
      <c r="E4" s="6" t="str" cm="1">
        <f t="array" ref="E4">_xlfn.SWITCH(D4, 1, "95", 2, "110", 3, "129", 4, "156", 5, "157 and over", "Unmatched category")</f>
        <v>129</v>
      </c>
      <c r="F4" t="s">
        <v>9</v>
      </c>
      <c r="H4" t="s">
        <v>10</v>
      </c>
    </row>
    <row r="5" spans="1:10">
      <c r="A5" t="s">
        <v>11</v>
      </c>
      <c r="B5" t="s">
        <v>12</v>
      </c>
      <c r="C5" s="3">
        <v>1</v>
      </c>
      <c r="D5">
        <v>3</v>
      </c>
      <c r="E5" s="6" t="str" cm="1">
        <f t="array" ref="E5">_xlfn.SWITCH(D5, 1, "95", 2, "110", 3, "129", 4, "156", 5, "157 and over", "Unmatched category")</f>
        <v>129</v>
      </c>
      <c r="F5" t="str" cm="1">
        <f t="array" ref="F5">_xlfn.IFS(D5=1, "95", D5=2, "110", D5=3, "129", D5=4, "156", D5=5, "157 and over")</f>
        <v>129</v>
      </c>
      <c r="H5" s="1" t="s">
        <v>13</v>
      </c>
      <c r="I5" s="1" t="s">
        <v>14</v>
      </c>
    </row>
    <row r="6" spans="1:10">
      <c r="A6" t="s">
        <v>15</v>
      </c>
      <c r="B6" t="s">
        <v>16</v>
      </c>
      <c r="C6" s="3">
        <v>5</v>
      </c>
      <c r="D6">
        <v>4</v>
      </c>
      <c r="E6" s="6" t="str" cm="1">
        <f t="array" ref="E6">_xlfn.SWITCH(D6, 1, "95", 2, "110", 3, "129", 4, "156", 5, "157 and over", "Unmatched category")</f>
        <v>156</v>
      </c>
      <c r="F6" t="str" cm="1">
        <f t="array" ref="F6">_xlfn.IFS(D6=1, "95", D6=2, "110", D6=3, "129", D6=4, "156", D6=5, "157 and over")</f>
        <v>156</v>
      </c>
      <c r="H6">
        <v>5</v>
      </c>
      <c r="I6" t="s">
        <v>17</v>
      </c>
    </row>
    <row r="7" spans="1:10">
      <c r="A7" t="s">
        <v>18</v>
      </c>
      <c r="B7" t="s">
        <v>19</v>
      </c>
      <c r="C7" s="3">
        <v>20</v>
      </c>
      <c r="D7">
        <v>4</v>
      </c>
      <c r="E7" s="6" t="str" cm="1">
        <f t="array" ref="E7">_xlfn.SWITCH(D7, 1, "95", 2, "110", 3, "129", 4, "156", 5, "157 and over", "Unmatched category")</f>
        <v>156</v>
      </c>
      <c r="F7" t="str" cm="1">
        <f t="array" ref="F7">_xlfn.IFS(D7=1, "95", D7=2, "110", D7=3, "129", D7=4, "156", D7=5, "157 and over")</f>
        <v>156</v>
      </c>
      <c r="H7">
        <v>4</v>
      </c>
      <c r="I7" s="4">
        <v>156</v>
      </c>
    </row>
    <row r="8" spans="1:10">
      <c r="A8" t="s">
        <v>20</v>
      </c>
      <c r="B8" t="s">
        <v>21</v>
      </c>
      <c r="C8" s="3">
        <v>20</v>
      </c>
      <c r="D8">
        <v>4</v>
      </c>
      <c r="E8" s="6" t="str" cm="1">
        <f t="array" ref="E8">_xlfn.SWITCH(D8, 1, "95", 2, "110", 3, "129", 4, "156", 5, "157 and over", "Unmatched category")</f>
        <v>156</v>
      </c>
      <c r="F8" t="str" cm="1">
        <f t="array" ref="F8">_xlfn.IFS(D8=1, "95", D8=2, "110", D8=3, "129", D8=4, "156", D8=5, "157 and over")</f>
        <v>156</v>
      </c>
      <c r="H8">
        <v>3</v>
      </c>
      <c r="I8" s="4">
        <v>129</v>
      </c>
    </row>
    <row r="9" spans="1:10">
      <c r="A9" t="s">
        <v>22</v>
      </c>
      <c r="B9" t="s">
        <v>23</v>
      </c>
      <c r="C9" s="3">
        <v>50</v>
      </c>
      <c r="D9">
        <v>3</v>
      </c>
      <c r="E9" s="6" t="str" cm="1">
        <f t="array" ref="E9">_xlfn.SWITCH(D9, 1, "95", 2, "110", 3, "129", 4, "156", 5, "157 and over", "Unmatched category")</f>
        <v>129</v>
      </c>
      <c r="F9" t="str" cm="1">
        <f t="array" ref="F9">_xlfn.IFS(D9=1, "95", D9=2, "110", D9=3, "129", D9=4, "156", D9=5, "157 and over")</f>
        <v>129</v>
      </c>
      <c r="H9">
        <v>2</v>
      </c>
      <c r="I9" s="4">
        <v>110</v>
      </c>
    </row>
    <row r="10" spans="1:10">
      <c r="A10" t="s">
        <v>24</v>
      </c>
      <c r="B10" t="s">
        <v>25</v>
      </c>
      <c r="C10" s="3">
        <v>100</v>
      </c>
      <c r="D10">
        <v>5</v>
      </c>
      <c r="E10" s="6" t="str" cm="1">
        <f t="array" ref="E10">_xlfn.SWITCH(D10, 1, "95", 2, "110", 3, "129", 4, "156", 5, "157 and over", "Unmatched category")</f>
        <v>157 and over</v>
      </c>
      <c r="F10" t="str" cm="1">
        <f t="array" ref="F10">_xlfn.IFS(D10=1, "95", D10=2, "110", D10=3, "129", D10=4, "156", D10=5, "157 and over")</f>
        <v>157 and over</v>
      </c>
      <c r="H10">
        <v>1</v>
      </c>
      <c r="I10" s="4">
        <v>95</v>
      </c>
    </row>
    <row r="11" spans="1:10">
      <c r="A11" t="s">
        <v>26</v>
      </c>
      <c r="B11" t="s">
        <v>27</v>
      </c>
      <c r="C11" s="3">
        <v>50</v>
      </c>
      <c r="D11">
        <v>4</v>
      </c>
      <c r="E11" s="6" t="str" cm="1">
        <f t="array" ref="E11">_xlfn.SWITCH(D11, 1, "95", 2, "110", 3, "129", 4, "156", 5, "157 and over", "Unmatched category")</f>
        <v>156</v>
      </c>
      <c r="F11" t="str" cm="1">
        <f t="array" ref="F11">_xlfn.IFS(D11=1, "95", D11=2, "110", D11=3, "129", D11=4, "156", D11=5, "157 and over")</f>
        <v>156</v>
      </c>
    </row>
    <row r="12" spans="1:10">
      <c r="A12" t="s">
        <v>28</v>
      </c>
      <c r="B12" t="s">
        <v>29</v>
      </c>
      <c r="C12" s="3">
        <v>7.5</v>
      </c>
      <c r="D12">
        <v>4</v>
      </c>
      <c r="E12" s="6" t="str" cm="1">
        <f t="array" ref="E12">_xlfn.SWITCH(D12, 1, "95", 2, "110", 3, "129", 4, "156", 5, "157 and over", "Unmatched category")</f>
        <v>156</v>
      </c>
      <c r="F12" t="str" cm="1">
        <f t="array" ref="F12">_xlfn.IFS(D12=1, "95", D12=2, "110", D12=3, "129", D12=4, "156", D12=5, "157 and over")</f>
        <v>156</v>
      </c>
    </row>
    <row r="13" spans="1:10">
      <c r="A13" t="s">
        <v>30</v>
      </c>
      <c r="B13" t="s">
        <v>31</v>
      </c>
      <c r="C13" s="3">
        <v>40</v>
      </c>
      <c r="D13">
        <v>5</v>
      </c>
      <c r="E13" s="6" t="str" cm="1">
        <f t="array" ref="E13">_xlfn.SWITCH(D13, 1, "95", 2, "110", 3, "129", 4, "156", 5, "157 and over", "Unmatched category")</f>
        <v>157 and over</v>
      </c>
      <c r="F13" t="str" cm="1">
        <f t="array" ref="F13">_xlfn.IFS(D13=1, "95", D13=2, "110", D13=3, "129", D13=4, "156", D13=5, "157 and over")</f>
        <v>157 and over</v>
      </c>
    </row>
    <row r="14" spans="1:10">
      <c r="A14" t="s">
        <v>32</v>
      </c>
      <c r="B14" t="s">
        <v>33</v>
      </c>
      <c r="C14" s="3">
        <v>2.6</v>
      </c>
      <c r="D14">
        <v>2</v>
      </c>
      <c r="E14" s="6" t="str" cm="1">
        <f t="array" ref="E14">_xlfn.SWITCH(D14, 1, "95", 2, "110", 3, "129", 4, "156", 5, "157 and over", "Unmatched category")</f>
        <v>110</v>
      </c>
      <c r="F14" t="str" cm="1">
        <f t="array" ref="F14">_xlfn.IFS(D14=1, "95", D14=2, "110", D14=3, "129", D14=4, "156", D14=5, "157 and over")</f>
        <v>110</v>
      </c>
      <c r="J14" s="7"/>
    </row>
    <row r="15" spans="1:10">
      <c r="A15" t="s">
        <v>34</v>
      </c>
      <c r="B15" t="s">
        <v>35</v>
      </c>
      <c r="C15" s="3">
        <v>16</v>
      </c>
      <c r="D15">
        <v>1</v>
      </c>
      <c r="E15" s="6" t="str" cm="1">
        <f t="array" ref="E15">_xlfn.SWITCH(D15, 1, "95", 2, "110", 3, "129", 4, "156", 5, "157 and over", "Unmatched category")</f>
        <v>95</v>
      </c>
      <c r="F15" t="str" cm="1">
        <f t="array" ref="F15">_xlfn.IFS(D15=1, "95", D15=2, "110", D15=3, "129", D15=4, "156", D15=5, "157 and over")</f>
        <v>95</v>
      </c>
      <c r="J15" s="7"/>
    </row>
    <row r="16" spans="1:10">
      <c r="A16" t="s">
        <v>36</v>
      </c>
      <c r="B16" t="s">
        <v>37</v>
      </c>
      <c r="C16" s="3">
        <v>529</v>
      </c>
      <c r="D16">
        <v>4</v>
      </c>
      <c r="E16" s="6" t="str" cm="1">
        <f t="array" ref="E16">_xlfn.SWITCH(D16, 1, "95", 2, "110", 3, "129", 4, "156", 5, "157 and over", "Unmatched category")</f>
        <v>156</v>
      </c>
      <c r="F16" t="str" cm="1">
        <f t="array" ref="F16">_xlfn.IFS(D16=1, "95", D16=2, "110", D16=3, "129", D16=4, "156", D16=5, "157 and over")</f>
        <v>156</v>
      </c>
      <c r="J16" s="7"/>
    </row>
    <row r="17" spans="1:10">
      <c r="A17" t="s">
        <v>38</v>
      </c>
      <c r="B17" t="s">
        <v>39</v>
      </c>
      <c r="C17" s="3">
        <v>1800</v>
      </c>
      <c r="D17">
        <v>2</v>
      </c>
      <c r="E17" s="6" t="str" cm="1">
        <f t="array" ref="E17">_xlfn.SWITCH(D17, 1, "95", 2, "110", 3, "129", 4, "156", 5, "157 and over", "Unmatched category")</f>
        <v>110</v>
      </c>
      <c r="F17" t="str" cm="1">
        <f t="array" ref="F17">_xlfn.IFS(D17=1, "95", D17=2, "110", D17=3, "129", D17=4, "156", D17=5, "157 and over")</f>
        <v>110</v>
      </c>
      <c r="J17" s="7"/>
    </row>
    <row r="18" spans="1:10">
      <c r="A18" t="s">
        <v>40</v>
      </c>
      <c r="B18" t="s">
        <v>41</v>
      </c>
      <c r="C18" s="3">
        <v>1540</v>
      </c>
      <c r="D18">
        <v>5</v>
      </c>
      <c r="E18" s="6" t="str" cm="1">
        <f t="array" ref="E18">_xlfn.SWITCH(D18, 1, "95", 2, "110", 3, "129", 4, "156", 5, "157 and over", "Unmatched category")</f>
        <v>157 and over</v>
      </c>
      <c r="F18" t="str" cm="1">
        <f t="array" ref="F18">_xlfn.IFS(D18=1, "95", D18=2, "110", D18=3, "129", D18=4, "156", D18=5, "157 and over")</f>
        <v>157 and over</v>
      </c>
    </row>
    <row r="19" spans="1:10">
      <c r="A19" t="s">
        <v>42</v>
      </c>
      <c r="B19" t="s">
        <v>43</v>
      </c>
      <c r="C19" s="3">
        <v>594</v>
      </c>
      <c r="D19">
        <v>1</v>
      </c>
      <c r="E19" s="6" t="str" cm="1">
        <f t="array" ref="E19">_xlfn.SWITCH(D19, 1, "95", 2, "110", 3, "129", 4, "156", 5, "157 and over", "Unmatched category")</f>
        <v>95</v>
      </c>
      <c r="F19" t="str" cm="1">
        <f t="array" ref="F19">_xlfn.IFS(D19=1, "95", D19=2, "110", D19=3, "129", D19=4, "156", D19=5, "157 and over")</f>
        <v>95</v>
      </c>
    </row>
    <row r="20" spans="1:10">
      <c r="A20" t="s">
        <v>44</v>
      </c>
      <c r="B20" t="s">
        <v>45</v>
      </c>
      <c r="C20" s="3">
        <v>6200</v>
      </c>
      <c r="D20">
        <v>5</v>
      </c>
      <c r="E20" s="6" t="str" cm="1">
        <f t="array" ref="E20">_xlfn.SWITCH(D20, 1, "95", 2, "110", 3, "129", 4, "156", 5, "157 and over", "Unmatched category")</f>
        <v>157 and over</v>
      </c>
      <c r="F20" t="str" cm="1">
        <f t="array" ref="F20">_xlfn.IFS(D20=1, "95", D20=2, "110", D20=3, "129", D20=4, "156", D20=5, "157 and over")</f>
        <v>157 and over</v>
      </c>
    </row>
    <row r="21" spans="1:10">
      <c r="A21" t="s">
        <v>46</v>
      </c>
      <c r="B21" t="s">
        <v>47</v>
      </c>
      <c r="C21" s="3">
        <v>7660</v>
      </c>
      <c r="D21">
        <v>3</v>
      </c>
      <c r="E21" s="6" t="str" cm="1">
        <f t="array" ref="E21">_xlfn.SWITCH(D21, 1, "95", 2, "110", 3, "129", 4, "156", 5, "157 and over", "Unmatched category")</f>
        <v>129</v>
      </c>
      <c r="F21" t="str" cm="1">
        <f t="array" ref="F21">_xlfn.IFS(D21=1, "95", D21=2, "110", D21=3, "129", D21=4, "156", D21=5, "157 and over")</f>
        <v>129</v>
      </c>
    </row>
    <row r="22" spans="1:10">
      <c r="A22" t="s">
        <v>48</v>
      </c>
      <c r="B22" t="s">
        <v>49</v>
      </c>
      <c r="C22" s="3">
        <v>108000</v>
      </c>
      <c r="D22">
        <v>5</v>
      </c>
      <c r="E22" s="6" t="str" cm="1">
        <f t="array" ref="E22">_xlfn.SWITCH(D22, 1, "95", 2, "110", 3, "129", 4, "156", 5, "157 and over", "Unmatched category")</f>
        <v>157 and over</v>
      </c>
      <c r="F22" t="str" cm="1">
        <f t="array" ref="F22">_xlfn.IFS(D22=1, "95", D22=2, "110", D22=3, "129", D22=4, "156", D22=5, "157 and over")</f>
        <v>157 and over</v>
      </c>
    </row>
    <row r="23" spans="1:10">
      <c r="A23" t="s">
        <v>50</v>
      </c>
      <c r="B23" t="s">
        <v>51</v>
      </c>
      <c r="C23" s="3">
        <v>3960</v>
      </c>
      <c r="D23">
        <v>1</v>
      </c>
      <c r="E23" s="6" t="str" cm="1">
        <f t="array" ref="E23">_xlfn.SWITCH(D23, 1, "95", 2, "110", 3, "129", 4, "156", 5, "157 and over", "Unmatched category")</f>
        <v>95</v>
      </c>
      <c r="F23" t="str" cm="1">
        <f t="array" ref="F23">_xlfn.IFS(D23=1, "95", D23=2, "110", D23=3, "129", D23=4, "156", D23=5, "157 and over")</f>
        <v>95</v>
      </c>
    </row>
    <row r="24" spans="1:10">
      <c r="A24" t="s">
        <v>52</v>
      </c>
      <c r="B24" t="s">
        <v>53</v>
      </c>
      <c r="C24" s="3">
        <v>300000</v>
      </c>
      <c r="D24">
        <v>5</v>
      </c>
      <c r="E24" s="6" t="str" cm="1">
        <f t="array" ref="E24">_xlfn.SWITCH(D24, 1, "95", 2, "110", 3, "129", 4, "156", 5, "157 and over", "Unmatched category")</f>
        <v>157 and over</v>
      </c>
      <c r="F24" t="str" cm="1">
        <f t="array" ref="F24">_xlfn.IFS(D24=1, "95", D24=2, "110", D24=3, "129", D24=4, "156", D24=5, "157 and over")</f>
        <v>157 and over</v>
      </c>
    </row>
    <row r="25" spans="1:10">
      <c r="C25" s="3"/>
      <c r="D25">
        <v>0</v>
      </c>
      <c r="E25" s="6" t="str" cm="1">
        <f t="array" ref="E25">_xlfn.SWITCH(D25, 1, "95", 2, "110", 3, "129", 4, "156", 5, "157 and over", "Unmatched category")</f>
        <v>Unmatched category</v>
      </c>
      <c r="F25" t="e" cm="1">
        <f t="array" ref="F25">_xlfn.IFS(D25=1, "95", D25=2, "110", D25=3, "129", D25=4, "156", D25=5, "157 and over")</f>
        <v>#N/A</v>
      </c>
    </row>
    <row r="26" spans="1:10">
      <c r="C26" s="3"/>
      <c r="D26">
        <v>10</v>
      </c>
      <c r="E26" s="6" t="str" cm="1">
        <f t="array" ref="E26">_xlfn.SWITCH(D26, 1, "95", 2, "110", 3, "129", 4, "156", 5, "157 and over", "Unmatched category")</f>
        <v>Unmatched category</v>
      </c>
      <c r="F26" t="e" cm="1">
        <f t="array" ref="F26">_xlfn.IFS(D26=1, "95", D26=2, "110", D26=3, "129", D26=4, "156", D26=5, "157 and over")</f>
        <v>#N/A</v>
      </c>
    </row>
    <row r="27" spans="1:10">
      <c r="C27" s="3"/>
    </row>
    <row r="28" spans="1:10">
      <c r="C28" s="3"/>
    </row>
    <row r="29" spans="1:10">
      <c r="C29" s="3"/>
    </row>
    <row r="30" spans="1:10">
      <c r="C30" s="3"/>
    </row>
    <row r="31" spans="1:10">
      <c r="C31" s="3"/>
    </row>
    <row r="32" spans="1:10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05315243-6BE6-4A66-B064-45A675CFD6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2017-10-17T14:59:20Z</dcterms:created>
  <dcterms:modified xsi:type="dcterms:W3CDTF">2026-05-07T13:33:28Z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</Properties>
</file>